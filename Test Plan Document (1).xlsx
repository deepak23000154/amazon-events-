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2D9FA4-69C6-4C03-8C01-51308B5C5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 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E6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00000000-0006-0000-0000-000001000000}">
      <text>
        <r>
          <rPr>
            <sz val="10"/>
            <color rgb="FF000000"/>
            <rFont val="Arial"/>
            <scheme val="minor"/>
          </rPr>
          <t>Test Case ID: Unique identifier for each test case (e.g., TC001, TC002) used for tracking and bug logging.</t>
        </r>
      </text>
    </comment>
    <comment ref="B13" authorId="0" shapeId="0" xr:uid="{00000000-0006-0000-0000-000002000000}">
      <text>
        <r>
          <rPr>
            <sz val="10"/>
            <color rgb="FF000000"/>
            <rFont val="Arial"/>
            <scheme val="minor"/>
          </rPr>
          <t>Module: Functional feature or area being validated (e.g., Login, Search, Product, Cart, Wishlist, Checkout).</t>
        </r>
      </text>
    </comment>
    <comment ref="C13" authorId="0" shapeId="0" xr:uid="{00000000-0006-0000-0000-000003000000}">
      <text>
        <r>
          <rPr>
            <sz val="10"/>
            <color rgb="FF000000"/>
            <rFont val="Arial"/>
            <scheme val="minor"/>
          </rPr>
          <t>Test Scenario: High-level description of the specific functionality or user behavior under test.</t>
        </r>
      </text>
    </comment>
    <comment ref="D13" authorId="0" shapeId="0" xr:uid="{00000000-0006-0000-0000-000004000000}">
      <text>
        <r>
          <rPr>
            <sz val="10"/>
            <color rgb="FF000000"/>
            <rFont val="Arial"/>
            <scheme val="minor"/>
          </rPr>
          <t>Test Steps: Step-by-step user actions executed sequentially in the browser.</t>
        </r>
      </text>
    </comment>
    <comment ref="E13" authorId="0" shapeId="0" xr:uid="{00000000-0006-0000-0000-000005000000}">
      <text>
        <r>
          <rPr>
            <sz val="10"/>
            <color rgb="FF000000"/>
            <rFont val="Arial"/>
            <scheme val="minor"/>
          </rPr>
          <t>Test Data: Input values, credentials, or parameters used during the test execution (valid and invalid).</t>
        </r>
      </text>
    </comment>
    <comment ref="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Expected Result: Intended and correct system behavior specified by product requirements.</t>
        </r>
      </text>
    </comment>
    <comment ref="G13" authorId="0" shapeId="0" xr:uid="{00000000-0006-0000-0000-000007000000}">
      <text>
        <r>
          <rPr>
            <sz val="10"/>
            <color rgb="FF000000"/>
            <rFont val="Arial"/>
            <scheme val="minor"/>
          </rPr>
          <t>Actual Result: Real observed behavior during testing. Choose 'Done as expected' (Pass), 'Issue observed' (Fail), or 'Pending'.</t>
        </r>
      </text>
    </comment>
    <comment ref="H13" authorId="0" shapeId="0" xr:uid="{00000000-0006-0000-0000-000008000000}">
      <text>
        <r>
          <rPr>
            <sz val="10"/>
            <color rgb="FF000000"/>
            <rFont val="Arial"/>
            <scheme val="minor"/>
          </rPr>
          <t>Status: Current test verdict: Passed, Failed, Blocked, or Not Executed (Pending execution).</t>
        </r>
      </text>
    </comment>
  </commentList>
</comments>
</file>

<file path=xl/sharedStrings.xml><?xml version="1.0" encoding="utf-8"?>
<sst xmlns="http://schemas.openxmlformats.org/spreadsheetml/2006/main" count="117" uniqueCount="97">
  <si>
    <t>FLIPKART PLATFORM - TEST PLAN DOCUMENT</t>
  </si>
  <si>
    <t>Field</t>
  </si>
  <si>
    <t>Details</t>
  </si>
  <si>
    <t>QA EXECUTION SUMMARY</t>
  </si>
  <si>
    <t>Project</t>
  </si>
  <si>
    <t>Flipkart Website</t>
  </si>
  <si>
    <t>TOTAL TESTS</t>
  </si>
  <si>
    <t>PASSED</t>
  </si>
  <si>
    <t>FAILED</t>
  </si>
  <si>
    <t>EXECUTION PROGRESS</t>
  </si>
  <si>
    <t>Testing Type</t>
  </si>
  <si>
    <t>Manual Testing</t>
  </si>
  <si>
    <t>Objective</t>
  </si>
  <si>
    <t>Verify that Flipkart features work as expected</t>
  </si>
  <si>
    <t>BLOCKED</t>
  </si>
  <si>
    <t>NOT EXECUTED</t>
  </si>
  <si>
    <t>PASS RATE</t>
  </si>
  <si>
    <t>STATUS</t>
  </si>
  <si>
    <t>Scope</t>
  </si>
  <si>
    <t>Login, Search, Product, Cart, Wishlist, Checkout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</si>
  <si>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</si>
  <si>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</si>
  <si>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</si>
  <si>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</si>
  <si>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</si>
  <si>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</si>
  <si>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</si>
  <si>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</si>
  <si>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</si>
  <si>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</si>
  <si>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</si>
  <si>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</si>
  <si>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</si>
  <si>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</si>
  <si>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</si>
  <si>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</si>
  <si>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</si>
  <si>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</si>
  <si>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User should be logged in</t>
  </si>
  <si>
    <t>Done as expected</t>
  </si>
  <si>
    <t>Passed</t>
  </si>
  <si>
    <t>TC002</t>
  </si>
  <si>
    <t>TC003</t>
  </si>
  <si>
    <t>Search</t>
  </si>
  <si>
    <t>Search for a product</t>
  </si>
  <si>
    <t>Enter product name → Click Search</t>
  </si>
  <si>
    <t>Laptop</t>
  </si>
  <si>
    <t>Relevant products should appear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</si>
  <si>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</si>
  <si>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</si>
  <si>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</si>
  <si>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</si>
  <si>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</si>
  <si>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</si>
  <si>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</si>
  <si>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Product</t>
  </si>
  <si>
    <t>Open a product</t>
  </si>
  <si>
    <t>Search product → Click product</t>
  </si>
  <si>
    <t>Product details page should open</t>
  </si>
  <si>
    <t>TC006</t>
  </si>
  <si>
    <t>Cart</t>
  </si>
  <si>
    <t>Add product to cart</t>
  </si>
  <si>
    <t>Open product → Click Add to Cart</t>
  </si>
  <si>
    <t>Available product</t>
  </si>
  <si>
    <t>Product should be added to cart</t>
  </si>
  <si>
    <t>TC007</t>
  </si>
  <si>
    <t>Remove product from cart</t>
  </si>
  <si>
    <t>Open Cart → Click Remove</t>
  </si>
  <si>
    <t>Added product</t>
  </si>
  <si>
    <t>Product should be removed</t>
  </si>
  <si>
    <t>TC008</t>
  </si>
  <si>
    <t>Wishlist</t>
  </si>
  <si>
    <t>Add product to wishlist</t>
  </si>
  <si>
    <t>Open product → Click Wishlist</t>
  </si>
  <si>
    <t>Product should be added to wishlist</t>
  </si>
  <si>
    <t>TC009</t>
  </si>
  <si>
    <t>TC010</t>
  </si>
  <si>
    <t>PAYMENT</t>
  </si>
  <si>
    <t>Succesfull card payment</t>
  </si>
  <si>
    <t>Enter the valid card details</t>
  </si>
  <si>
    <t>valid card</t>
  </si>
  <si>
    <t>payment should be successful</t>
  </si>
  <si>
    <t>not executed</t>
  </si>
  <si>
    <t>failed</t>
  </si>
  <si>
    <t>Verify Flipkart homepage</t>
  </si>
  <si>
    <t>Open Flipkart website</t>
  </si>
  <si>
    <t>Homepage should load successfully</t>
  </si>
  <si>
    <t>Verify search</t>
  </si>
  <si>
    <t>Enter "iPhone" in search box</t>
  </si>
  <si>
    <t>Relevant products should be displayed</t>
  </si>
  <si>
    <t>Poduct will be shown</t>
  </si>
  <si>
    <t>ORDER PLACED</t>
  </si>
  <si>
    <t>EMOJI will shown</t>
  </si>
  <si>
    <t>upi or credit card</t>
  </si>
  <si>
    <t>Payment</t>
  </si>
  <si>
    <t>executed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</si>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</sst>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5">
    <font>
      <sz val="10"/>
      <color rgb="FF000000"/>
      <name val="Arial"/>
      <scheme val="minor"/>
    </font>
    <font>
      <b/>
      <sz val="12"/>
      <color rgb="FFFFFFFF"/>
      <name val="Google Sans"/>
    </font>
    <font>
      <sz val="10"/>
      <name val="Arial"/>
    </font>
    <font>
      <b/>
      <sz val="10"/>
      <color rgb="FFFFFFFF"/>
      <name val="Google Sans"/>
    </font>
    <font>
      <b/>
      <sz val="11"/>
      <color rgb="FFFFFFFF"/>
      <name val="Google Sans"/>
    </font>
    <font>
      <b/>
      <sz val="10"/>
      <color rgb="FF1A1B1F"/>
      <name val="Google Sans"/>
    </font>
    <font>
      <sz val="10"/>
      <color rgb="FF1A1B1F"/>
      <name val="Google Sans"/>
    </font>
    <font>
      <b/>
      <sz val="9"/>
      <color rgb="FF465469"/>
      <name val="Google Sans"/>
    </font>
    <font>
      <b/>
      <sz val="16"/>
      <color rgb="FF1E3989"/>
      <name val="Google Sans"/>
    </font>
    <font>
      <b/>
      <sz val="16"/>
      <color rgb="FF059569"/>
      <name val="Google Sans"/>
    </font>
    <font>
      <b/>
      <sz val="16"/>
      <color rgb="FFDC2525"/>
      <name val="Google Sans"/>
    </font>
    <font>
      <b/>
      <sz val="16"/>
      <color rgb="FF2462EB"/>
      <name val="Google Sans"/>
    </font>
    <font>
      <b/>
      <sz val="14"/>
      <color rgb="FFD97706"/>
      <name val="Google Sans"/>
    </font>
    <font>
      <b/>
      <sz val="14"/>
      <color rgb="FF63748A"/>
      <name val="Google Sans"/>
    </font>
    <font>
      <b/>
      <sz val="14"/>
      <color rgb="FF0D9387"/>
      <name val="Google Sans"/>
    </font>
    <font>
      <b/>
      <sz val="11"/>
      <color rgb="FF4338C9"/>
      <name val="Google Sans"/>
    </font>
    <font>
      <sz val="9"/>
      <color rgb="FF1A1B1F"/>
      <name val="Google Sans"/>
    </font>
    <font>
      <b/>
      <sz val="9"/>
      <color rgb="FF0A5E28"/>
      <name val="Google Sans"/>
    </font>
    <font>
      <b/>
      <sz val="9"/>
      <color rgb="FFC5211F"/>
      <name val="Google Sans"/>
    </font>
    <font>
      <b/>
      <sz val="9"/>
      <color rgb="FF92400E"/>
      <name val="Google Sans"/>
    </font>
    <font>
      <b/>
      <sz val="9"/>
      <color rgb="FF465369"/>
      <name val="Google Sans"/>
    </font>
    <font>
      <i/>
      <sz val="9"/>
      <color rgb="FF465369"/>
      <name val="Google Sans"/>
    </font>
    <font>
      <b/>
      <sz val="10"/>
      <color rgb="FF1E3989"/>
      <name val="Google Sans"/>
    </font>
    <font>
      <b/>
      <sz val="10"/>
      <color theme="1"/>
      <name val="Google Sans"/>
    </font>
    <font>
      <sz val="10"/>
      <color rgb="FF1F2937"/>
      <name val="Google Sans"/>
    </font>
  </fonts>
  <fills count="8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F8F9FB"/>
        <bgColor rgb="FFF8F9FB"/>
      </patternFill>
    </fill>
  </fills>
  <borders count="32">
    <border>
      <left/>
      <right/>
      <top/>
      <bottom/>
      <diagonal/>
    </border>
    <border>
      <left style="medium">
        <color rgb="FF1E3989"/>
      </left>
      <right/>
      <top style="medium">
        <color rgb="FF1E3989"/>
      </top>
      <bottom style="medium">
        <color rgb="FF1E3989"/>
      </bottom>
      <diagonal/>
    </border>
    <border>
      <left/>
      <right/>
      <top style="medium">
        <color rgb="FF1E3989"/>
      </top>
      <bottom style="medium">
        <color rgb="FF1E3989"/>
      </bottom>
      <diagonal/>
    </border>
    <border>
      <left/>
      <right style="medium">
        <color rgb="FF1E3989"/>
      </right>
      <top style="medium">
        <color rgb="FF1E3989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/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/>
      <bottom style="thin">
        <color rgb="FFD8DDEA"/>
      </bottom>
      <diagonal/>
    </border>
    <border>
      <left style="medium">
        <color rgb="FF1E3989"/>
      </left>
      <right/>
      <top style="medium">
        <color rgb="FF1E3989"/>
      </top>
      <bottom style="thin">
        <color rgb="FFD1D8E5"/>
      </bottom>
      <diagonal/>
    </border>
    <border>
      <left/>
      <right/>
      <top style="medium">
        <color rgb="FF1E3989"/>
      </top>
      <bottom style="thin">
        <color rgb="FFD1D8E5"/>
      </bottom>
      <diagonal/>
    </border>
    <border>
      <left/>
      <right style="medium">
        <color rgb="FF1E3989"/>
      </right>
      <top style="medium">
        <color rgb="FF1E3989"/>
      </top>
      <bottom style="thin">
        <color rgb="FFD1D8E5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  <diagonal/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/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  <diagonal/>
    </border>
    <border>
      <left style="medium">
        <color rgb="FF1E3989"/>
      </left>
      <right style="thin">
        <color rgb="FFE1E8EF"/>
      </right>
      <top/>
      <bottom/>
      <diagonal/>
    </border>
    <border>
      <left style="thin">
        <color rgb="FFE1E8EF"/>
      </left>
      <right style="thin">
        <color rgb="FFE1E8EF"/>
      </right>
      <top/>
      <bottom/>
      <diagonal/>
    </border>
    <border>
      <left style="thin">
        <color rgb="FFE1E8EF"/>
      </left>
      <right style="medium">
        <color rgb="FF1E3989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3" fontId="8" fillId="5" borderId="11" xfId="0" applyNumberFormat="1" applyFont="1" applyFill="1" applyBorder="1" applyAlignment="1">
      <alignment horizontal="center" vertical="center"/>
    </xf>
    <xf numFmtId="3" fontId="9" fillId="5" borderId="12" xfId="0" applyNumberFormat="1" applyFont="1" applyFill="1" applyBorder="1" applyAlignment="1">
      <alignment horizontal="center" vertical="center"/>
    </xf>
    <xf numFmtId="3" fontId="10" fillId="5" borderId="12" xfId="0" applyNumberFormat="1" applyFont="1" applyFill="1" applyBorder="1" applyAlignment="1">
      <alignment horizontal="center" vertical="center"/>
    </xf>
    <xf numFmtId="164" fontId="11" fillId="5" borderId="13" xfId="0" applyNumberFormat="1" applyFont="1" applyFill="1" applyBorder="1" applyAlignment="1">
      <alignment horizontal="center" vertical="center"/>
    </xf>
    <xf numFmtId="3" fontId="12" fillId="5" borderId="15" xfId="0" applyNumberFormat="1" applyFont="1" applyFill="1" applyBorder="1" applyAlignment="1">
      <alignment horizontal="center" vertical="center"/>
    </xf>
    <xf numFmtId="3" fontId="13" fillId="5" borderId="16" xfId="0" applyNumberFormat="1" applyFont="1" applyFill="1" applyBorder="1" applyAlignment="1">
      <alignment horizontal="center" vertical="center"/>
    </xf>
    <xf numFmtId="164" fontId="14" fillId="5" borderId="16" xfId="0" applyNumberFormat="1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5" fillId="4" borderId="18" xfId="0" applyFont="1" applyFill="1" applyBorder="1" applyAlignment="1">
      <alignment horizontal="left" vertical="center" wrapText="1"/>
    </xf>
    <xf numFmtId="0" fontId="6" fillId="5" borderId="19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2" fillId="5" borderId="2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center" vertical="center" wrapText="1"/>
    </xf>
    <xf numFmtId="0" fontId="24" fillId="5" borderId="25" xfId="0" applyFont="1" applyFill="1" applyBorder="1" applyAlignment="1">
      <alignment horizontal="center" vertical="center" wrapText="1"/>
    </xf>
    <xf numFmtId="0" fontId="22" fillId="7" borderId="24" xfId="0" applyFont="1" applyFill="1" applyBorder="1" applyAlignment="1">
      <alignment horizontal="center" vertical="center" wrapText="1"/>
    </xf>
    <xf numFmtId="0" fontId="23" fillId="7" borderId="14" xfId="0" applyFont="1" applyFill="1" applyBorder="1" applyAlignment="1">
      <alignment horizontal="left" vertical="center" wrapText="1"/>
    </xf>
    <xf numFmtId="0" fontId="24" fillId="7" borderId="14" xfId="0" applyFont="1" applyFill="1" applyBorder="1" applyAlignment="1">
      <alignment horizontal="left" vertical="center" wrapText="1"/>
    </xf>
    <xf numFmtId="0" fontId="24" fillId="7" borderId="14" xfId="0" applyFont="1" applyFill="1" applyBorder="1" applyAlignment="1">
      <alignment horizontal="center" vertical="center" wrapText="1"/>
    </xf>
    <xf numFmtId="0" fontId="24" fillId="7" borderId="25" xfId="0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center" vertical="center" wrapText="1"/>
    </xf>
    <xf numFmtId="0" fontId="23" fillId="7" borderId="27" xfId="0" applyFont="1" applyFill="1" applyBorder="1" applyAlignment="1">
      <alignment horizontal="left" vertical="center" wrapText="1"/>
    </xf>
    <xf numFmtId="0" fontId="24" fillId="7" borderId="27" xfId="0" applyFont="1" applyFill="1" applyBorder="1" applyAlignment="1">
      <alignment horizontal="left" vertical="center" wrapText="1"/>
    </xf>
    <xf numFmtId="0" fontId="24" fillId="7" borderId="27" xfId="0" applyFont="1" applyFill="1" applyBorder="1" applyAlignment="1">
      <alignment horizontal="center" vertical="center" wrapText="1"/>
    </xf>
    <xf numFmtId="0" fontId="24" fillId="7" borderId="2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5" borderId="29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left" vertical="center" wrapText="1"/>
    </xf>
    <xf numFmtId="0" fontId="24" fillId="5" borderId="30" xfId="0" applyFont="1" applyFill="1" applyBorder="1" applyAlignment="1">
      <alignment horizontal="left" vertical="center" wrapText="1"/>
    </xf>
    <xf numFmtId="0" fontId="24" fillId="5" borderId="30" xfId="0" applyFont="1" applyFill="1" applyBorder="1" applyAlignment="1">
      <alignment horizontal="center" vertical="center" wrapText="1"/>
    </xf>
    <xf numFmtId="0" fontId="24" fillId="5" borderId="31" xfId="0" applyFont="1" applyFill="1" applyBorder="1" applyAlignment="1">
      <alignment horizontal="center" vertical="center" wrapText="1"/>
    </xf>
    <xf numFmtId="0" fontId="22" fillId="7" borderId="29" xfId="0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left" vertical="center" wrapText="1"/>
    </xf>
    <xf numFmtId="0" fontId="24" fillId="7" borderId="30" xfId="0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5F8FB"/>
          <bgColor rgb="FFF5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D3A8A"/>
          <bgColor rgb="FF1D3A8A"/>
        </patternFill>
      </fill>
    </dxf>
  </dxfs>
  <tableStyles count="1">
    <tableStyle name="Test Plan Temp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tabSelected="1" topLeftCell="B1" workbookViewId="0">
      <selection activeCell="H4" sqref="H4"/>
    </sheetView>
  </sheetViews>
  <sheetFormatPr defaultColWidth="12.6640625" defaultRowHeight="15.75" customHeight="1"/>
  <cols>
    <col min="1" max="1" width="13.88671875" customWidth="1"/>
    <col min="2" max="2" width="17.6640625" customWidth="1"/>
    <col min="3" max="3" width="36" customWidth="1"/>
    <col min="4" max="4" width="43.88671875" customWidth="1"/>
    <col min="5" max="5" width="20.109375" customWidth="1"/>
    <col min="6" max="6" width="31.33203125" customWidth="1"/>
    <col min="7" max="7" width="21.33203125" customWidth="1"/>
    <col min="8" max="8" width="22.6640625" customWidth="1"/>
  </cols>
  <sheetData>
    <row r="1" spans="1:8" ht="30" customHeight="1">
      <c r="B1" s="43" t="s">
        <v>0</v>
      </c>
      <c r="C1" s="44"/>
      <c r="D1" s="44"/>
      <c r="E1" s="44"/>
      <c r="F1" s="44"/>
      <c r="G1" s="44"/>
      <c r="H1" s="45"/>
    </row>
    <row r="2" spans="1:8" ht="22.5" customHeight="1">
      <c r="B2" s="1" t="s">
        <v>1</v>
      </c>
      <c r="C2" s="2" t="s">
        <v>2</v>
      </c>
      <c r="E2" s="46" t="s">
        <v>3</v>
      </c>
      <c r="F2" s="47"/>
      <c r="G2" s="47"/>
      <c r="H2" s="48"/>
    </row>
    <row r="3" spans="1:8" ht="19.5" customHeight="1">
      <c r="B3" s="3" t="s">
        <v>4</v>
      </c>
      <c r="C3" s="4" t="s">
        <v>5</v>
      </c>
      <c r="E3" s="5" t="s">
        <v>6</v>
      </c>
      <c r="F3" s="6" t="s">
        <v>7</v>
      </c>
      <c r="G3" s="6" t="s">
        <v>8</v>
      </c>
      <c r="H3" s="7" t="s">
        <v>9</v>
      </c>
    </row>
    <row r="4" spans="1:8" ht="28.5" customHeight="1">
      <c r="B4" s="3" t="s">
        <v>10</v>
      </c>
      <c r="C4" s="4" t="s">
        <v>11</v>
      </c>
      <c r="E4" s="8">
        <v>10</v>
      </c>
      <c r="F4" s="9">
        <v>9</v>
      </c>
      <c r="G4" s="10">
        <v>1</v>
      </c>
      <c r="H4" s="11">
        <v>90</v>
      </c>
    </row>
    <row r="5" spans="1:8" ht="19.5" customHeight="1">
      <c r="B5" s="3" t="s">
        <v>12</v>
      </c>
      <c r="C5" s="4" t="s">
        <v>13</v>
      </c>
      <c r="E5" s="5" t="s">
        <v>14</v>
      </c>
      <c r="F5" s="6" t="s">
        <v>15</v>
      </c>
      <c r="G5" s="6" t="s">
        <v>16</v>
      </c>
      <c r="H5" s="7" t="s">
        <v>17</v>
      </c>
    </row>
    <row r="6" spans="1:8" ht="25.5" customHeight="1">
      <c r="B6" s="3" t="s">
        <v>18</v>
      </c>
      <c r="C6" s="4" t="s">
        <v>19</v>
      </c>
      <c r="E6" s="12">
        <f>COUNTIF(H14:H21, "Blocked")</f>
        <v>0</v>
      </c>
      <c r="F6" s="13">
        <f>COUNTIF(H14:H21, "Not Executed")</f>
        <v>0</v>
      </c>
      <c r="G6" s="14">
        <f>IFERROR(COUNTIF(H14:H21, "Passed")/(COUNTIF(H14:H21, "Passed")+COUNTIF(H14:H21, "Failed")), 0)</f>
        <v>1</v>
      </c>
      <c r="H6" s="15" t="str">
        <f>IF(H4=1, "Completed", IF(H4&gt;0, "In Progress", "Not Started"))</f>
        <v>In Progress</v>
      </c>
    </row>
    <row r="7" spans="1:8" ht="19.5" customHeight="1">
      <c r="B7" s="3" t="s">
        <v>20</v>
      </c>
      <c r="C7" s="4" t="s">
        <v>21</v>
      </c>
    </row>
    <row r="8" spans="1:8" ht="19.5" customHeight="1">
      <c r="B8" s="3" t="s">
        <v>22</v>
      </c>
      <c r="C8" s="4" t="s">
        <v>23</v>
      </c>
      <c r="E8" s="49"/>
      <c r="F8" s="50"/>
      <c r="G8" s="50"/>
      <c r="H8" s="50"/>
    </row>
    <row r="9" spans="1:8" ht="19.5" customHeight="1">
      <c r="B9" s="3" t="s">
        <v>24</v>
      </c>
      <c r="C9" s="4" t="s">
        <v>25</v>
      </c>
      <c r="E9" s="51"/>
      <c r="F9" s="50"/>
      <c r="G9" s="50"/>
      <c r="H9" s="50"/>
    </row>
    <row r="10" spans="1:8" ht="21" customHeight="1">
      <c r="B10" s="3" t="s">
        <v>26</v>
      </c>
      <c r="C10" s="4" t="s">
        <v>27</v>
      </c>
      <c r="E10" s="16"/>
      <c r="F10" s="17"/>
      <c r="G10" s="18"/>
      <c r="H10" s="17"/>
    </row>
    <row r="11" spans="1:8" ht="21" customHeight="1">
      <c r="B11" s="19" t="s">
        <v>28</v>
      </c>
      <c r="C11" s="20"/>
      <c r="E11" s="21"/>
      <c r="F11" s="17"/>
      <c r="G11" s="22"/>
      <c r="H11" s="17"/>
    </row>
    <row r="12" spans="1:8" ht="21" customHeight="1">
      <c r="E12" s="52"/>
      <c r="F12" s="50"/>
      <c r="G12" s="50"/>
      <c r="H12" s="50"/>
    </row>
    <row r="13" spans="1:8" ht="27" customHeight="1">
      <c r="A13" s="23" t="s">
        <v>29</v>
      </c>
      <c r="B13" s="24" t="s">
        <v>30</v>
      </c>
      <c r="C13" s="24" t="s">
        <v>31</v>
      </c>
      <c r="D13" s="25" t="s">
        <v>32</v>
      </c>
      <c r="E13" s="25" t="s">
        <v>26</v>
      </c>
      <c r="F13" s="25" t="s">
        <v>33</v>
      </c>
      <c r="G13" s="26" t="s">
        <v>34</v>
      </c>
      <c r="H13" s="27" t="s">
        <v>35</v>
      </c>
    </row>
    <row r="14" spans="1:8" ht="25.5" customHeight="1">
      <c r="A14" s="28" t="s">
        <v>36</v>
      </c>
      <c r="B14" s="29" t="s">
        <v>37</v>
      </c>
      <c r="C14" s="30" t="s">
        <v>84</v>
      </c>
      <c r="D14" s="30" t="s">
        <v>85</v>
      </c>
      <c r="E14" s="30" t="s">
        <v>86</v>
      </c>
      <c r="F14" s="30" t="s">
        <v>38</v>
      </c>
      <c r="G14" s="31" t="s">
        <v>39</v>
      </c>
      <c r="H14" s="32" t="s">
        <v>40</v>
      </c>
    </row>
    <row r="15" spans="1:8" ht="25.5" customHeight="1">
      <c r="A15" s="33" t="s">
        <v>41</v>
      </c>
      <c r="B15" s="34" t="s">
        <v>37</v>
      </c>
      <c r="C15" s="35" t="s">
        <v>87</v>
      </c>
      <c r="D15" s="35" t="s">
        <v>88</v>
      </c>
      <c r="E15" s="35" t="s">
        <v>89</v>
      </c>
      <c r="F15" s="35" t="s">
        <v>90</v>
      </c>
      <c r="G15" s="36" t="s">
        <v>39</v>
      </c>
      <c r="H15" s="37" t="s">
        <v>40</v>
      </c>
    </row>
    <row r="16" spans="1:8" ht="25.5" customHeight="1">
      <c r="A16" s="28" t="s">
        <v>42</v>
      </c>
      <c r="B16" s="29" t="s">
        <v>43</v>
      </c>
      <c r="C16" s="30" t="s">
        <v>44</v>
      </c>
      <c r="D16" s="30" t="s">
        <v>45</v>
      </c>
      <c r="E16" s="30" t="s">
        <v>46</v>
      </c>
      <c r="F16" s="30" t="s">
        <v>47</v>
      </c>
      <c r="G16" s="31" t="s">
        <v>39</v>
      </c>
      <c r="H16" s="32" t="s">
        <v>40</v>
      </c>
    </row>
    <row r="17" spans="1:8" ht="25.5" customHeight="1">
      <c r="A17" s="33" t="s">
        <v>48</v>
      </c>
      <c r="B17" s="34" t="s">
        <v>43</v>
      </c>
      <c r="C17" s="35" t="s">
        <v>49</v>
      </c>
      <c r="D17" s="35" t="s">
        <v>50</v>
      </c>
      <c r="E17" s="35" t="s">
        <v>51</v>
      </c>
      <c r="F17" s="35" t="s">
        <v>52</v>
      </c>
      <c r="G17" s="36" t="s">
        <v>53</v>
      </c>
      <c r="H17" s="37" t="s">
        <v>40</v>
      </c>
    </row>
    <row r="18" spans="1:8" ht="25.5" customHeight="1">
      <c r="A18" s="28" t="s">
        <v>54</v>
      </c>
      <c r="B18" s="29" t="s">
        <v>55</v>
      </c>
      <c r="C18" s="30" t="s">
        <v>56</v>
      </c>
      <c r="D18" s="30" t="s">
        <v>57</v>
      </c>
      <c r="E18" s="30" t="s">
        <v>46</v>
      </c>
      <c r="F18" s="30" t="s">
        <v>58</v>
      </c>
      <c r="G18" s="31" t="s">
        <v>39</v>
      </c>
      <c r="H18" s="32" t="s">
        <v>40</v>
      </c>
    </row>
    <row r="19" spans="1:8" ht="25.5" customHeight="1">
      <c r="A19" s="33" t="s">
        <v>59</v>
      </c>
      <c r="B19" s="34" t="s">
        <v>60</v>
      </c>
      <c r="C19" s="35" t="s">
        <v>61</v>
      </c>
      <c r="D19" s="35" t="s">
        <v>62</v>
      </c>
      <c r="E19" s="35" t="s">
        <v>63</v>
      </c>
      <c r="F19" s="35" t="s">
        <v>64</v>
      </c>
      <c r="G19" s="36" t="s">
        <v>39</v>
      </c>
      <c r="H19" s="37" t="s">
        <v>40</v>
      </c>
    </row>
    <row r="20" spans="1:8" ht="25.5" customHeight="1">
      <c r="A20" s="28" t="s">
        <v>65</v>
      </c>
      <c r="B20" s="29" t="s">
        <v>60</v>
      </c>
      <c r="C20" s="30" t="s">
        <v>66</v>
      </c>
      <c r="D20" s="30" t="s">
        <v>67</v>
      </c>
      <c r="E20" s="30" t="s">
        <v>68</v>
      </c>
      <c r="F20" s="30" t="s">
        <v>69</v>
      </c>
      <c r="G20" s="31" t="s">
        <v>39</v>
      </c>
      <c r="H20" s="32" t="s">
        <v>40</v>
      </c>
    </row>
    <row r="21" spans="1:8" ht="25.5" customHeight="1">
      <c r="A21" s="38" t="s">
        <v>70</v>
      </c>
      <c r="B21" s="39" t="s">
        <v>71</v>
      </c>
      <c r="C21" s="40" t="s">
        <v>72</v>
      </c>
      <c r="D21" s="40" t="s">
        <v>73</v>
      </c>
      <c r="E21" s="40" t="s">
        <v>63</v>
      </c>
      <c r="F21" s="40" t="s">
        <v>74</v>
      </c>
      <c r="G21" s="41" t="s">
        <v>39</v>
      </c>
      <c r="H21" s="42" t="s">
        <v>40</v>
      </c>
    </row>
    <row r="22" spans="1:8" ht="15.75" customHeight="1">
      <c r="A22" s="53" t="s">
        <v>75</v>
      </c>
      <c r="B22" s="54" t="s">
        <v>77</v>
      </c>
      <c r="C22" s="55" t="s">
        <v>78</v>
      </c>
      <c r="D22" s="55" t="s">
        <v>79</v>
      </c>
      <c r="E22" s="55" t="s">
        <v>80</v>
      </c>
      <c r="F22" s="55" t="s">
        <v>81</v>
      </c>
      <c r="G22" s="56" t="s">
        <v>82</v>
      </c>
      <c r="H22" s="57" t="s">
        <v>83</v>
      </c>
    </row>
    <row r="23" spans="1:8" ht="15.75" customHeight="1">
      <c r="A23" s="58" t="s">
        <v>76</v>
      </c>
      <c r="B23" t="s">
        <v>91</v>
      </c>
      <c r="C23" s="59" t="s">
        <v>94</v>
      </c>
      <c r="D23" s="59" t="s">
        <v>92</v>
      </c>
      <c r="E23" s="59" t="s">
        <v>93</v>
      </c>
      <c r="F23" s="59" t="s">
        <v>81</v>
      </c>
      <c r="G23" s="60" t="s">
        <v>95</v>
      </c>
      <c r="H23" s="61" t="s">
        <v>96</v>
      </c>
    </row>
  </sheetData>
  <mergeCells count="5">
    <mergeCell ref="B1:H1"/>
    <mergeCell ref="E2:H2"/>
    <mergeCell ref="E8:H8"/>
    <mergeCell ref="E9:H9"/>
    <mergeCell ref="E12:H12"/>
  </mergeCells>
  <dataValidations count="2">
    <dataValidation type="list" allowBlank="1" sqref="G14:G21" xr:uid="{00000000-0002-0000-0000-000000000000}">
      <formula1>"Done as expected,Issue observed,Pending,Other result observed"</formula1>
    </dataValidation>
    <dataValidation type="list" allowBlank="1" sqref="H14:H21" xr:uid="{00000000-0002-0000-0000-000001000000}">
      <formula1>"Passed,Failed,Blocked,Not Executed"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deepakrajesh513@gmail.com</cp:lastModifiedBy>
  <dcterms:modified xsi:type="dcterms:W3CDTF">2026-09-17T06:13:56Z</dcterms:modified>
</cp:coreProperties>
</file>